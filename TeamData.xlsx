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C:\Users\TUONG VY\Downloads\"/>
    </mc:Choice>
  </mc:AlternateContent>
  <xr:revisionPtr revIDLastSave="220" documentId="13_ncr:1_{456A9A39-3618-4040-BD3A-EAE113E2B10E}" xr6:coauthVersionLast="47" xr6:coauthVersionMax="47" xr10:uidLastSave="{0F12CF2D-6640-45A8-B0C6-63E7221D913B}"/>
  <bookViews>
    <workbookView xWindow="-110" yWindow="-110" windowWidth="19420" windowHeight="10300" firstSheet="1" activeTab="1" xr2:uid="{00000000-000D-0000-FFFF-FFFF00000000}"/>
  </bookViews>
  <sheets>
    <sheet name="MEMBERS" sheetId="1" r:id="rId1"/>
    <sheet name="ASSIGNMENTS" sheetId="2" r:id="rId2"/>
    <sheet name="PROJECTS" sheetId="3" r:id="rId3"/>
    <sheet name="SUBTASKS" sheetId="4" r:id="rId4"/>
  </sheets>
  <definedNames>
    <definedName name="ASSIGNMENTS.csv" localSheetId="1">ASSIGNMENTS!$A$1:$E$6</definedName>
    <definedName name="MEMBERS.csv" localSheetId="0">MEMBERS!$A$1:$C$6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2" i="4"/>
  <c r="G3" i="4"/>
  <c r="G4" i="4"/>
  <c r="G5" i="4"/>
  <c r="G6" i="4"/>
  <c r="G7" i="4"/>
  <c r="G8" i="4"/>
  <c r="G9" i="4"/>
  <c r="G10" i="4"/>
  <c r="G11" i="4"/>
  <c r="G12" i="4"/>
  <c r="G2" i="4"/>
  <c r="F3" i="2"/>
  <c r="F4" i="2"/>
  <c r="F5" i="2"/>
  <c r="F6" i="2"/>
  <c r="F11" i="4" l="1"/>
  <c r="F12" i="4"/>
  <c r="F9" i="4"/>
  <c r="F10" i="4"/>
  <c r="F7" i="4"/>
  <c r="F8" i="4"/>
  <c r="F5" i="4"/>
  <c r="F6" i="4"/>
  <c r="F3" i="4"/>
  <c r="F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SSIGNMENTS.csv" type="6" refreshedVersion="6" background="1" saveData="1">
    <textPr sourceFile="C:\Users\ADMIN\Desktop\Thao\ASSIGNMENTS.csv.txt">
      <textFields count="5">
        <textField/>
        <textField/>
        <textField/>
        <textField/>
        <textField/>
      </textFields>
    </textPr>
  </connection>
  <connection id="2" xr16:uid="{00000000-0015-0000-FFFF-FFFF00000000}" name="MEMBERS.csv" type="6" refreshedVersion="6" background="1" saveData="1">
    <textPr codePage="65001" sourceFile="C:\Users\ADMIN\Desktop\Thao\MEMBERS.csv.txt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<sst xmlns="http://schemas.openxmlformats.org/spreadsheetml/2006/main" count="103" uniqueCount="73">
  <si>
    <t>MemberID</t>
  </si>
  <si>
    <t>FullName</t>
  </si>
  <si>
    <t>Role</t>
  </si>
  <si>
    <t>B2504896</t>
  </si>
  <si>
    <t>Trần Thị Minh Thảo</t>
  </si>
  <si>
    <t>Nhóm trưởng, Thành viên 1 - Quản trị Cơ sở dữ liệu SQLite</t>
  </si>
  <si>
    <t>B2504904</t>
  </si>
  <si>
    <t>Nguyễn Ngọc Tường Vy</t>
  </si>
  <si>
    <t>Thành viên 2 - Phân tích dữ liệu và Báo cáo Excel</t>
  </si>
  <si>
    <t>B2504876</t>
  </si>
  <si>
    <t>Trần Thị Ngọc Huyền</t>
  </si>
  <si>
    <t>Thành viên 3 - Quản lý Hạ tầng mạng và GitHub</t>
  </si>
  <si>
    <t>B2509891</t>
  </si>
  <si>
    <t>Đặng Bích Phương</t>
  </si>
  <si>
    <t>Thành viên 4 - Thiết lập Bảo mật và Công thái học</t>
  </si>
  <si>
    <t>B2504908</t>
  </si>
  <si>
    <t>Tiêu Bùi Như Ý</t>
  </si>
  <si>
    <t>Thành viên 5 - Tổng hợp Báo cáo và Video Demo</t>
  </si>
  <si>
    <t>TaskID</t>
  </si>
  <si>
    <t>TaskName</t>
  </si>
  <si>
    <t>AssigneeID</t>
  </si>
  <si>
    <t>Status</t>
  </si>
  <si>
    <t>Deadline</t>
  </si>
  <si>
    <t>Member Name</t>
  </si>
  <si>
    <t>Thiết kế và quản trị Database SQLite cho dự án</t>
  </si>
  <si>
    <t>Completed</t>
  </si>
  <si>
    <t>Sử dụng hàm Excel để phân tích và xử lý dữ liệu</t>
  </si>
  <si>
    <t>In progress</t>
  </si>
  <si>
    <t>Vẽ sơ đồ hạ tầng mạng và quản lý mã nguồn GitHub</t>
  </si>
  <si>
    <t>Pending</t>
  </si>
  <si>
    <t>Thiết lập chính sách bảo mật và hướng dẫn công thái học</t>
  </si>
  <si>
    <t>Biên tập nội dung báo cáo Word 30 trang và dựng Video</t>
  </si>
  <si>
    <t>ProjectID</t>
  </si>
  <si>
    <t>ProjectName</t>
  </si>
  <si>
    <t>StartDate</t>
  </si>
  <si>
    <t>Difficulty</t>
  </si>
  <si>
    <t>PRJ_IT_01</t>
  </si>
  <si>
    <t>Introduction to IT Project</t>
  </si>
  <si>
    <t>18/03/2026</t>
  </si>
  <si>
    <t>Easy</t>
  </si>
  <si>
    <t>PRJ_LAB_02</t>
  </si>
  <si>
    <t>Operating Systems &amp; Bash Script</t>
  </si>
  <si>
    <t>20/03/2026</t>
  </si>
  <si>
    <t>Hard</t>
  </si>
  <si>
    <t>PRJ_SOFT_03</t>
  </si>
  <si>
    <t>Office Productivity (Excel/Word)</t>
  </si>
  <si>
    <t>PRJ_SEC_04</t>
  </si>
  <si>
    <t>Digital Security &amp; Infrastructure</t>
  </si>
  <si>
    <t>Normal</t>
  </si>
  <si>
    <t>PRJ_RPT_05</t>
  </si>
  <si>
    <t>Technical Reporting &amp; Video Production</t>
  </si>
  <si>
    <t>28/03/2026</t>
  </si>
  <si>
    <t>SubtaskID</t>
  </si>
  <si>
    <t>MainTaskID</t>
  </si>
  <si>
    <t>SubtaskName</t>
  </si>
  <si>
    <t>TimeSpent</t>
  </si>
  <si>
    <t>IsCompleted</t>
  </si>
  <si>
    <t>Design 4-tier Database Schema</t>
  </si>
  <si>
    <t>2 hours</t>
  </si>
  <si>
    <t>Write CREATE TABLE scripts</t>
  </si>
  <si>
    <t>1 hour</t>
  </si>
  <si>
    <t>Execute SQL IN &amp; JOIN queries</t>
  </si>
  <si>
    <t>30 mins</t>
  </si>
  <si>
    <t>Populate tables with dummy data</t>
  </si>
  <si>
    <t xml:space="preserve">Create Excel Pivot Tables &amp; Charts </t>
  </si>
  <si>
    <t xml:space="preserve">Install Ubuntu on VirtualBox </t>
  </si>
  <si>
    <t>Configure Network Connectivity</t>
  </si>
  <si>
    <t xml:space="preserve">Set up User Authentication protocols </t>
  </si>
  <si>
    <t xml:space="preserve">Test System Security against SQL Injection </t>
  </si>
  <si>
    <t>1.5 hours</t>
  </si>
  <si>
    <t xml:space="preserve">Compile individual report sections </t>
  </si>
  <si>
    <t>3 hours</t>
  </si>
  <si>
    <t xml:space="preserve">Format Word document using IEEE standards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</si>
</sst>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Bình thường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26BED"/>
      <color rgb="FF36E2F5"/>
      <color rgb="FF5F28DE"/>
      <color rgb="FF7143DE"/>
      <color rgb="FFA82EE6"/>
      <color rgb="FF1100C7"/>
      <color rgb="FF9804C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MBERS.csv" connectionId="2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SSIGNMENTS.csv" connectionId="1" xr16:uid="{CD4A92C0-FFF5-4A16-B14E-CEAE060A0AEF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A3" sqref="A3"/>
    </sheetView>
  </sheetViews>
  <sheetFormatPr defaultRowHeight="14.45"/>
  <cols>
    <col min="1" max="1" width="11.7109375" customWidth="1"/>
    <col min="2" max="2" width="24.140625" customWidth="1"/>
    <col min="3" max="3" width="57" customWidth="1"/>
  </cols>
  <sheetData>
    <row r="1" spans="1:3" ht="15.75">
      <c r="A1" s="1" t="s">
        <v>0</v>
      </c>
      <c r="B1" s="1" t="s">
        <v>1</v>
      </c>
      <c r="C1" s="1" t="s">
        <v>2</v>
      </c>
    </row>
    <row r="2" spans="1:3" ht="15.75">
      <c r="A2" s="1" t="s">
        <v>3</v>
      </c>
      <c r="B2" s="1" t="s">
        <v>4</v>
      </c>
      <c r="C2" s="1" t="s">
        <v>5</v>
      </c>
    </row>
    <row r="3" spans="1:3" ht="15.75">
      <c r="A3" s="1" t="s">
        <v>6</v>
      </c>
      <c r="B3" s="1" t="s">
        <v>7</v>
      </c>
      <c r="C3" s="1" t="s">
        <v>8</v>
      </c>
    </row>
    <row r="4" spans="1:3" ht="15.75">
      <c r="A4" s="1" t="s">
        <v>9</v>
      </c>
      <c r="B4" s="1" t="s">
        <v>10</v>
      </c>
      <c r="C4" s="1" t="s">
        <v>11</v>
      </c>
    </row>
    <row r="5" spans="1:3" ht="15.75">
      <c r="A5" s="1" t="s">
        <v>12</v>
      </c>
      <c r="B5" s="1" t="s">
        <v>13</v>
      </c>
      <c r="C5" s="1" t="s">
        <v>14</v>
      </c>
    </row>
    <row r="6" spans="1:3" ht="15.75">
      <c r="A6" s="1" t="s">
        <v>15</v>
      </c>
      <c r="B6" s="1" t="s">
        <v>16</v>
      </c>
      <c r="C6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906BA-8462-4253-87BD-7BE92F3B3F00}">
  <dimension ref="A1:F6"/>
  <sheetViews>
    <sheetView tabSelected="1" topLeftCell="B1" workbookViewId="0">
      <selection activeCell="C1" sqref="C1:C1048576"/>
    </sheetView>
  </sheetViews>
  <sheetFormatPr defaultRowHeight="14.45"/>
  <cols>
    <col min="1" max="1" width="7.28515625" customWidth="1"/>
    <col min="2" max="2" width="55.5703125" customWidth="1"/>
    <col min="3" max="3" width="12.42578125" customWidth="1"/>
    <col min="4" max="4" width="12.140625" customWidth="1"/>
    <col min="5" max="5" width="11.5703125" customWidth="1"/>
    <col min="6" max="6" width="24.5703125" customWidth="1"/>
  </cols>
  <sheetData>
    <row r="1" spans="1:6" ht="15.75">
      <c r="A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 ht="15.75">
      <c r="A2">
        <v>6</v>
      </c>
      <c r="B2" s="1" t="s">
        <v>24</v>
      </c>
      <c r="C2" s="1" t="s">
        <v>3</v>
      </c>
      <c r="D2" s="1" t="s">
        <v>25</v>
      </c>
      <c r="E2" s="2">
        <v>46101</v>
      </c>
      <c r="F2" s="1" t="str">
        <f>VLOOKUP(C2, MEMBERS!A:B, 2, FALSE)</f>
        <v>Trần Thị Minh Thảo</v>
      </c>
    </row>
    <row r="3" spans="1:6" ht="15.75">
      <c r="A3">
        <v>7</v>
      </c>
      <c r="B3" s="1" t="s">
        <v>26</v>
      </c>
      <c r="C3" s="1" t="s">
        <v>6</v>
      </c>
      <c r="D3" s="1" t="s">
        <v>27</v>
      </c>
      <c r="E3" s="2">
        <v>46106</v>
      </c>
      <c r="F3" s="1" t="str">
        <f>VLOOKUP(C3, MEMBERS!A:B, 2, FALSE)</f>
        <v>Nguyễn Ngọc Tường Vy</v>
      </c>
    </row>
    <row r="4" spans="1:6" ht="15.75">
      <c r="A4">
        <v>8</v>
      </c>
      <c r="B4" s="1" t="s">
        <v>28</v>
      </c>
      <c r="C4" s="1" t="s">
        <v>9</v>
      </c>
      <c r="D4" s="1" t="s">
        <v>29</v>
      </c>
      <c r="E4" s="2">
        <v>46106</v>
      </c>
      <c r="F4" s="1" t="str">
        <f>VLOOKUP(C4, MEMBERS!A:B, 2, FALSE)</f>
        <v>Trần Thị Ngọc Huyền</v>
      </c>
    </row>
    <row r="5" spans="1:6" ht="15.75">
      <c r="A5">
        <v>9</v>
      </c>
      <c r="B5" s="1" t="s">
        <v>30</v>
      </c>
      <c r="C5" s="1" t="s">
        <v>12</v>
      </c>
      <c r="D5" s="1" t="s">
        <v>29</v>
      </c>
      <c r="E5" s="2">
        <v>46108</v>
      </c>
      <c r="F5" s="1" t="str">
        <f>VLOOKUP(C5, MEMBERS!A:B, 2, FALSE)</f>
        <v>Đặng Bích Phương</v>
      </c>
    </row>
    <row r="6" spans="1:6" ht="15.75">
      <c r="A6">
        <v>10</v>
      </c>
      <c r="B6" s="1" t="s">
        <v>31</v>
      </c>
      <c r="C6" s="1" t="s">
        <v>15</v>
      </c>
      <c r="D6" s="1" t="s">
        <v>29</v>
      </c>
      <c r="E6" s="2">
        <v>46111</v>
      </c>
      <c r="F6" s="1" t="str">
        <f>VLOOKUP(C6, MEMBERS!A:B, 2, FALSE)</f>
        <v>Tiêu Bùi Như Ý</v>
      </c>
    </row>
  </sheetData>
  <conditionalFormatting sqref="D2:E6">
    <cfRule type="expression" dxfId="4" priority="12">
      <formula>AND($D2&lt;&gt;"Completed",$E2&lt;TODAY())</formula>
    </cfRule>
  </conditionalFormatting>
  <conditionalFormatting sqref="D2:E6">
    <cfRule type="expression" dxfId="3" priority="11">
      <formula>$D2="Completed"</formula>
    </cfRule>
  </conditionalFormatting>
  <conditionalFormatting sqref="D2:E6">
    <cfRule type="expression" dxfId="2" priority="10">
      <formula>$D2="In progress"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23F91-2ACD-4BA2-A7E8-66286422A448}">
  <dimension ref="A1:D6"/>
  <sheetViews>
    <sheetView workbookViewId="0">
      <selection activeCell="D1" sqref="D1"/>
    </sheetView>
  </sheetViews>
  <sheetFormatPr defaultRowHeight="15"/>
  <cols>
    <col min="1" max="1" width="14.140625" customWidth="1"/>
    <col min="2" max="2" width="39.85546875" customWidth="1"/>
    <col min="3" max="3" width="13.28515625" customWidth="1"/>
    <col min="4" max="4" width="10.42578125" customWidth="1"/>
  </cols>
  <sheetData>
    <row r="1" spans="1:4" ht="15.75">
      <c r="A1" s="1" t="s">
        <v>32</v>
      </c>
      <c r="B1" s="1" t="s">
        <v>33</v>
      </c>
      <c r="C1" s="1" t="s">
        <v>34</v>
      </c>
      <c r="D1" s="1" t="s">
        <v>35</v>
      </c>
    </row>
    <row r="2" spans="1:4" ht="15.75">
      <c r="A2" s="1" t="s">
        <v>36</v>
      </c>
      <c r="B2" s="1" t="s">
        <v>37</v>
      </c>
      <c r="C2" s="1" t="s">
        <v>38</v>
      </c>
      <c r="D2" s="1" t="s">
        <v>39</v>
      </c>
    </row>
    <row r="3" spans="1:4" ht="15.75">
      <c r="A3" s="1" t="s">
        <v>40</v>
      </c>
      <c r="B3" s="1" t="s">
        <v>41</v>
      </c>
      <c r="C3" s="1" t="s">
        <v>42</v>
      </c>
      <c r="D3" s="1" t="s">
        <v>43</v>
      </c>
    </row>
    <row r="4" spans="1:4" ht="15.75">
      <c r="A4" s="1" t="s">
        <v>44</v>
      </c>
      <c r="B4" s="1" t="s">
        <v>45</v>
      </c>
      <c r="C4" s="1" t="s">
        <v>42</v>
      </c>
      <c r="D4" s="1" t="s">
        <v>43</v>
      </c>
    </row>
    <row r="5" spans="1:4" ht="15.75">
      <c r="A5" s="1" t="s">
        <v>46</v>
      </c>
      <c r="B5" s="1" t="s">
        <v>47</v>
      </c>
      <c r="C5" s="1" t="s">
        <v>42</v>
      </c>
      <c r="D5" s="1" t="s">
        <v>48</v>
      </c>
    </row>
    <row r="6" spans="1:4" ht="15.75">
      <c r="A6" s="1" t="s">
        <v>49</v>
      </c>
      <c r="B6" s="1" t="s">
        <v>50</v>
      </c>
      <c r="C6" s="1" t="s">
        <v>51</v>
      </c>
      <c r="D6" s="1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4830C-01A8-4ADF-8263-CD8E2E82CF6F}">
  <dimension ref="A1:G12"/>
  <sheetViews>
    <sheetView workbookViewId="0">
      <selection activeCell="H7" sqref="H7"/>
    </sheetView>
  </sheetViews>
  <sheetFormatPr defaultRowHeight="15"/>
  <cols>
    <col min="1" max="1" width="14.85546875" customWidth="1"/>
    <col min="2" max="2" width="11.85546875" customWidth="1"/>
    <col min="3" max="3" width="44.140625" customWidth="1"/>
    <col min="4" max="4" width="11.85546875" customWidth="1"/>
    <col min="5" max="5" width="12.7109375" customWidth="1"/>
    <col min="6" max="6" width="23.7109375" customWidth="1"/>
    <col min="7" max="7" width="39" customWidth="1"/>
  </cols>
  <sheetData>
    <row r="1" spans="1:7" ht="15.7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3" t="s">
        <v>23</v>
      </c>
      <c r="G1" s="3" t="s">
        <v>33</v>
      </c>
    </row>
    <row r="2" spans="1:7" ht="15.75">
      <c r="A2" s="1" t="s">
        <v>36</v>
      </c>
      <c r="B2" s="4">
        <v>6</v>
      </c>
      <c r="C2" s="1" t="s">
        <v>57</v>
      </c>
      <c r="D2" s="1" t="s">
        <v>58</v>
      </c>
      <c r="E2" s="1">
        <v>1</v>
      </c>
      <c r="F2" s="3" t="str">
        <f>VLOOKUP(B2, ASSIGNMENTS!A:F, 6, FALSE)</f>
        <v>Trần Thị Minh Thảo</v>
      </c>
      <c r="G2" s="1" t="str">
        <f>VLOOKUP(A2, PROJECTS!A:B, 2, FALSE)</f>
        <v>Introduction to IT Project</v>
      </c>
    </row>
    <row r="3" spans="1:7" ht="15.75">
      <c r="A3" s="1" t="s">
        <v>36</v>
      </c>
      <c r="B3" s="4">
        <v>6</v>
      </c>
      <c r="C3" s="1" t="s">
        <v>59</v>
      </c>
      <c r="D3" s="1" t="s">
        <v>60</v>
      </c>
      <c r="E3" s="1">
        <v>1</v>
      </c>
      <c r="F3" s="3" t="str">
        <f>VLOOKUP(B3, ASSIGNMENTS!A:F, 6, FALSE)</f>
        <v>Trần Thị Minh Thảo</v>
      </c>
      <c r="G3" s="1" t="str">
        <f>VLOOKUP(A3, PROJECTS!A:B, 2, FALSE)</f>
        <v>Introduction to IT Project</v>
      </c>
    </row>
    <row r="4" spans="1:7" ht="15.75">
      <c r="A4" s="1" t="s">
        <v>36</v>
      </c>
      <c r="B4" s="4">
        <v>6</v>
      </c>
      <c r="C4" s="1" t="s">
        <v>61</v>
      </c>
      <c r="D4" s="1" t="s">
        <v>62</v>
      </c>
      <c r="E4" s="1">
        <v>1</v>
      </c>
      <c r="F4" s="3" t="str">
        <f>VLOOKUP(B4, ASSIGNMENTS!A:F, 6, FALSE)</f>
        <v>Trần Thị Minh Thảo</v>
      </c>
      <c r="G4" s="1" t="str">
        <f>VLOOKUP(A4, PROJECTS!A:B, 2, FALSE)</f>
        <v>Introduction to IT Project</v>
      </c>
    </row>
    <row r="5" spans="1:7" ht="15.75">
      <c r="A5" s="1" t="s">
        <v>44</v>
      </c>
      <c r="B5" s="4">
        <v>7</v>
      </c>
      <c r="C5" s="1" t="s">
        <v>63</v>
      </c>
      <c r="D5" s="1" t="s">
        <v>60</v>
      </c>
      <c r="E5" s="1">
        <v>1</v>
      </c>
      <c r="F5" s="3" t="str">
        <f>VLOOKUP(B5, ASSIGNMENTS!A:F, 6, FALSE)</f>
        <v>Nguyễn Ngọc Tường Vy</v>
      </c>
      <c r="G5" s="1" t="str">
        <f>VLOOKUP(A5, PROJECTS!A:B, 2, FALSE)</f>
        <v>Office Productivity (Excel/Word)</v>
      </c>
    </row>
    <row r="6" spans="1:7" ht="15.75">
      <c r="A6" s="1" t="s">
        <v>44</v>
      </c>
      <c r="B6" s="4">
        <v>7</v>
      </c>
      <c r="C6" s="1" t="s">
        <v>64</v>
      </c>
      <c r="D6" s="1" t="s">
        <v>58</v>
      </c>
      <c r="E6" s="1">
        <v>1</v>
      </c>
      <c r="F6" s="3" t="str">
        <f>VLOOKUP(B6, ASSIGNMENTS!A:F, 6, FALSE)</f>
        <v>Nguyễn Ngọc Tường Vy</v>
      </c>
      <c r="G6" s="1" t="str">
        <f>VLOOKUP(A6, PROJECTS!A:B, 2, FALSE)</f>
        <v>Office Productivity (Excel/Word)</v>
      </c>
    </row>
    <row r="7" spans="1:7" ht="15.75">
      <c r="A7" s="1" t="s">
        <v>40</v>
      </c>
      <c r="B7" s="4">
        <v>8</v>
      </c>
      <c r="C7" s="1" t="s">
        <v>65</v>
      </c>
      <c r="D7" s="1" t="s">
        <v>58</v>
      </c>
      <c r="E7" s="1">
        <v>1</v>
      </c>
      <c r="F7" s="3" t="str">
        <f>VLOOKUP(B7, ASSIGNMENTS!A:F, 6, FALSE)</f>
        <v>Trần Thị Ngọc Huyền</v>
      </c>
      <c r="G7" s="1" t="str">
        <f>VLOOKUP(A7, PROJECTS!A:B, 2, FALSE)</f>
        <v>Operating Systems &amp; Bash Script</v>
      </c>
    </row>
    <row r="8" spans="1:7" ht="15.75">
      <c r="A8" s="1" t="s">
        <v>40</v>
      </c>
      <c r="B8" s="4">
        <v>8</v>
      </c>
      <c r="C8" s="1" t="s">
        <v>66</v>
      </c>
      <c r="D8" s="1" t="s">
        <v>60</v>
      </c>
      <c r="E8" s="1">
        <v>0</v>
      </c>
      <c r="F8" s="3" t="str">
        <f>VLOOKUP(B8, ASSIGNMENTS!A:F, 6, FALSE)</f>
        <v>Trần Thị Ngọc Huyền</v>
      </c>
      <c r="G8" s="1" t="str">
        <f>VLOOKUP(A8, PROJECTS!A:B, 2, FALSE)</f>
        <v>Operating Systems &amp; Bash Script</v>
      </c>
    </row>
    <row r="9" spans="1:7" ht="15.75">
      <c r="A9" s="1" t="s">
        <v>46</v>
      </c>
      <c r="B9" s="4">
        <v>9</v>
      </c>
      <c r="C9" s="1" t="s">
        <v>67</v>
      </c>
      <c r="D9" s="1" t="s">
        <v>58</v>
      </c>
      <c r="E9" s="1">
        <v>1</v>
      </c>
      <c r="F9" s="3" t="str">
        <f>VLOOKUP(B9, ASSIGNMENTS!A:F, 6, FALSE)</f>
        <v>Đặng Bích Phương</v>
      </c>
      <c r="G9" s="1" t="str">
        <f>VLOOKUP(A9, PROJECTS!A:B, 2, FALSE)</f>
        <v>Digital Security &amp; Infrastructure</v>
      </c>
    </row>
    <row r="10" spans="1:7" ht="15.75">
      <c r="A10" s="1" t="s">
        <v>46</v>
      </c>
      <c r="B10" s="4">
        <v>9</v>
      </c>
      <c r="C10" s="1" t="s">
        <v>68</v>
      </c>
      <c r="D10" s="1" t="s">
        <v>69</v>
      </c>
      <c r="E10" s="1">
        <v>0</v>
      </c>
      <c r="F10" s="3" t="str">
        <f>VLOOKUP(B10, ASSIGNMENTS!A:F, 6, FALSE)</f>
        <v>Đặng Bích Phương</v>
      </c>
      <c r="G10" s="1" t="str">
        <f>VLOOKUP(A10, PROJECTS!A:B, 2, FALSE)</f>
        <v>Digital Security &amp; Infrastructure</v>
      </c>
    </row>
    <row r="11" spans="1:7" ht="15.75">
      <c r="A11" s="1" t="s">
        <v>49</v>
      </c>
      <c r="B11" s="4">
        <v>10</v>
      </c>
      <c r="C11" s="1" t="s">
        <v>70</v>
      </c>
      <c r="D11" s="1" t="s">
        <v>71</v>
      </c>
      <c r="E11" s="1">
        <v>1</v>
      </c>
      <c r="F11" s="3" t="str">
        <f>VLOOKUP(B11, ASSIGNMENTS!A:F, 6, FALSE)</f>
        <v>Tiêu Bùi Như Ý</v>
      </c>
      <c r="G11" s="1" t="str">
        <f>VLOOKUP(A11, PROJECTS!A:B, 2, FALSE)</f>
        <v>Technical Reporting &amp; Video Production</v>
      </c>
    </row>
    <row r="12" spans="1:7" ht="15.75">
      <c r="A12" s="1" t="s">
        <v>49</v>
      </c>
      <c r="B12" s="4">
        <v>10</v>
      </c>
      <c r="C12" s="1" t="s">
        <v>72</v>
      </c>
      <c r="D12" s="1" t="s">
        <v>58</v>
      </c>
      <c r="E12" s="1">
        <v>1</v>
      </c>
      <c r="F12" s="3" t="str">
        <f>VLOOKUP(B12, ASSIGNMENTS!A:F, 6, FALSE)</f>
        <v>Tiêu Bùi Như Ý</v>
      </c>
      <c r="G12" s="1" t="str">
        <f>VLOOKUP(A12, PROJECTS!A:B, 2, FALSE)</f>
        <v>Technical Reporting &amp; Video Production</v>
      </c>
    </row>
  </sheetData>
  <conditionalFormatting sqref="E2:E12">
    <cfRule type="expression" dxfId="1" priority="2">
      <formula>1</formula>
    </cfRule>
  </conditionalFormatting>
  <conditionalFormatting sqref="E2:E12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Nguyen Ngoc Tuong Vy - B2504904</cp:lastModifiedBy>
  <cp:revision/>
  <dcterms:created xsi:type="dcterms:W3CDTF">2026-03-14T15:34:50Z</dcterms:created>
  <dcterms:modified xsi:type="dcterms:W3CDTF">2026-04-08T05:53:52Z</dcterms:modified>
  <cp:category/>
  <cp:contentStatus/>
</cp:coreProperties>
</file>